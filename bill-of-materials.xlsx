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git\cave-tag-tool\"/>
    </mc:Choice>
  </mc:AlternateContent>
  <xr:revisionPtr revIDLastSave="0" documentId="13_ncr:1_{130C41C9-7090-4AC0-93A3-B388B6DA19C5}" xr6:coauthVersionLast="47" xr6:coauthVersionMax="47" xr10:uidLastSave="{00000000-0000-0000-0000-000000000000}"/>
  <bookViews>
    <workbookView xWindow="57480" yWindow="-120" windowWidth="29040" windowHeight="15720" xr2:uid="{8BF4C00E-E00A-4CCA-8274-A0B8C2B68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3" i="1"/>
  <c r="I12" i="1"/>
  <c r="I8" i="1"/>
  <c r="I7" i="1"/>
  <c r="I6" i="1"/>
  <c r="I5" i="1"/>
  <c r="I4" i="1"/>
  <c r="I3" i="1"/>
  <c r="I14" i="1" l="1"/>
</calcChain>
</file>

<file path=xl/sharedStrings.xml><?xml version="1.0" encoding="utf-8"?>
<sst xmlns="http://schemas.openxmlformats.org/spreadsheetml/2006/main" count="54" uniqueCount="40">
  <si>
    <t>Item</t>
  </si>
  <si>
    <t>Manufacturer</t>
  </si>
  <si>
    <t>Manufacturer P/N</t>
  </si>
  <si>
    <t>Distributor</t>
  </si>
  <si>
    <t>Distributor P/N</t>
  </si>
  <si>
    <t>Unit Price</t>
  </si>
  <si>
    <t>Quantity</t>
  </si>
  <si>
    <t>Extended Price</t>
  </si>
  <si>
    <t>Amazon</t>
  </si>
  <si>
    <t>#8x1-1/4 Phillips Pan Head Screw, SS304, PKG 50</t>
  </si>
  <si>
    <t>B0CSRN1L8T</t>
  </si>
  <si>
    <t>Link</t>
  </si>
  <si>
    <t>B08MQ6DHXN</t>
  </si>
  <si>
    <t>Case, 8.27x5.91x1.46"</t>
  </si>
  <si>
    <t>Tags, PKG 40</t>
  </si>
  <si>
    <t>https://www.rona.ca/en/product/cobra-plastic-screw-anchors-6-1-in-l-100-per-pack-white-screws-sold-separately-187m-0484172</t>
  </si>
  <si>
    <t>Rona</t>
  </si>
  <si>
    <t>0484172</t>
  </si>
  <si>
    <t>Cobra</t>
  </si>
  <si>
    <t>187M</t>
  </si>
  <si>
    <t>Plastic Screw Anchors</t>
  </si>
  <si>
    <t>Princess Auto</t>
  </si>
  <si>
    <t>Letter Stamp Set, 27pc, 1/8" Character Height</t>
  </si>
  <si>
    <t>Number Stamp Set, 9pc, 1/8" Character Height</t>
  </si>
  <si>
    <t>https://www.princessauto.com/en/product/PA1000002690?skuId=8785347</t>
  </si>
  <si>
    <t>https://www.princessauto.com/en/product/PA1000002689?skuId=8785362</t>
  </si>
  <si>
    <t>Fixture, Base</t>
  </si>
  <si>
    <t>Fixture, Rail</t>
  </si>
  <si>
    <t>Fixture, Holder</t>
  </si>
  <si>
    <t>JLCCNC</t>
  </si>
  <si>
    <t>B0FGQB54W7</t>
  </si>
  <si>
    <t>SHCS, M5x0.8mm, 16mmL, black oxide, PKG 20</t>
  </si>
  <si>
    <t>https://a.co/d/3yuETbK</t>
  </si>
  <si>
    <t>3/16" SDS Masonry Bit 4"L, PKG 5</t>
  </si>
  <si>
    <t>https://a.co/d/azG841F</t>
  </si>
  <si>
    <t>https://a.co/d/bPt15em</t>
  </si>
  <si>
    <t>https://a.co/d/j04kQO8</t>
  </si>
  <si>
    <t>B0F8VLXYFV</t>
  </si>
  <si>
    <t>Total</t>
  </si>
  <si>
    <t>https://jlccnc.com/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</si>
</sst>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0" borderId="1" xfId="1" applyBorder="1"/>
    <xf numFmtId="0" fontId="2" fillId="2" borderId="1" xfId="1" applyFill="1" applyBorder="1"/>
    <xf numFmtId="0" fontId="0" fillId="2" borderId="1" xfId="0" quotePrefix="1" applyFill="1" applyBorder="1"/>
    <xf numFmtId="0" fontId="1" fillId="3" borderId="1" xfId="0" applyFont="1" applyFill="1" applyBorder="1"/>
    <xf numFmtId="0" fontId="0" fillId="2" borderId="1" xfId="0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cnc.com/" TargetMode="External"/><Relationship Id="rId3" Type="http://schemas.openxmlformats.org/officeDocument/2006/relationships/hyperlink" Target="https://www.princessauto.com/en/product/PA1000002690?skuId=8785347" TargetMode="External"/><Relationship Id="rId7" Type="http://schemas.openxmlformats.org/officeDocument/2006/relationships/hyperlink" Target="https://a.co/d/bPt15e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rona.ca/en/product/cobra-plastic-screw-anchors-6-1-in-l-100-per-pack-white-screws-sold-separately-187m-0484172" TargetMode="External"/><Relationship Id="rId1" Type="http://schemas.openxmlformats.org/officeDocument/2006/relationships/hyperlink" Target="https://a.co/d/j04kQO8" TargetMode="External"/><Relationship Id="rId6" Type="http://schemas.openxmlformats.org/officeDocument/2006/relationships/hyperlink" Target="https://a.co/d/azG841F" TargetMode="External"/><Relationship Id="rId11" Type="http://schemas.openxmlformats.org/officeDocument/2006/relationships/hyperlink" Target="https://jlccnc.com/" TargetMode="External"/><Relationship Id="rId5" Type="http://schemas.openxmlformats.org/officeDocument/2006/relationships/hyperlink" Target="https://a.co/d/3yuETbK" TargetMode="External"/><Relationship Id="rId10" Type="http://schemas.openxmlformats.org/officeDocument/2006/relationships/hyperlink" Target="https://jlccnc.com/" TargetMode="External"/><Relationship Id="rId4" Type="http://schemas.openxmlformats.org/officeDocument/2006/relationships/hyperlink" Target="https://www.princessauto.com/en/product/PA1000002689?skuId=8785362" TargetMode="External"/><Relationship Id="rId9" Type="http://schemas.openxmlformats.org/officeDocument/2006/relationships/hyperlink" Target="https://jlccn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CC2D-583E-45D9-81CB-D40186C64CA5}">
  <dimension ref="B2:J14"/>
  <sheetViews>
    <sheetView tabSelected="1" workbookViewId="0">
      <selection activeCell="D18" sqref="D18"/>
    </sheetView>
  </sheetViews>
  <sheetFormatPr defaultRowHeight="14.35" x14ac:dyDescent="0.5"/>
  <cols>
    <col min="1" max="1" width="2.76171875" style="1" customWidth="1"/>
    <col min="2" max="2" width="41.52734375" style="1" customWidth="1"/>
    <col min="3" max="3" width="13.8203125" style="1" customWidth="1"/>
    <col min="4" max="4" width="17.41015625" style="1" customWidth="1"/>
    <col min="5" max="5" width="14.234375" style="1" customWidth="1"/>
    <col min="6" max="6" width="15.46875" style="1" customWidth="1"/>
    <col min="7" max="8" width="8.9375" style="1"/>
    <col min="9" max="9" width="14.52734375" style="1" customWidth="1"/>
    <col min="10" max="10" width="61.05859375" style="1" customWidth="1"/>
    <col min="11" max="16384" width="8.9375" style="1"/>
  </cols>
  <sheetData>
    <row r="2" spans="2:10" x14ac:dyDescent="0.5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11</v>
      </c>
    </row>
    <row r="3" spans="2:10" x14ac:dyDescent="0.5">
      <c r="B3" s="2" t="s">
        <v>13</v>
      </c>
      <c r="C3" s="2"/>
      <c r="D3" s="2"/>
      <c r="E3" s="2" t="s">
        <v>8</v>
      </c>
      <c r="F3" s="2" t="s">
        <v>12</v>
      </c>
      <c r="G3" s="2">
        <v>32.99</v>
      </c>
      <c r="H3" s="2">
        <v>1</v>
      </c>
      <c r="I3" s="2">
        <f>H3*G3</f>
        <v>32.99</v>
      </c>
      <c r="J3" s="3" t="s">
        <v>35</v>
      </c>
    </row>
    <row r="4" spans="2:10" x14ac:dyDescent="0.5">
      <c r="B4" s="2" t="s">
        <v>9</v>
      </c>
      <c r="C4" s="2"/>
      <c r="D4" s="2"/>
      <c r="E4" s="2" t="s">
        <v>8</v>
      </c>
      <c r="F4" s="2" t="s">
        <v>10</v>
      </c>
      <c r="G4" s="2">
        <v>13.79</v>
      </c>
      <c r="H4" s="2">
        <v>1</v>
      </c>
      <c r="I4" s="2">
        <f>H4*G4</f>
        <v>13.79</v>
      </c>
      <c r="J4" s="4" t="s">
        <v>36</v>
      </c>
    </row>
    <row r="5" spans="2:10" x14ac:dyDescent="0.5">
      <c r="B5" s="2" t="s">
        <v>14</v>
      </c>
      <c r="C5" s="2" t="s">
        <v>29</v>
      </c>
      <c r="D5" s="2"/>
      <c r="E5" s="2" t="s">
        <v>29</v>
      </c>
      <c r="F5" s="2"/>
      <c r="G5" s="2">
        <v>23.03</v>
      </c>
      <c r="H5" s="2">
        <v>1</v>
      </c>
      <c r="I5" s="2">
        <f>H5*G5</f>
        <v>23.03</v>
      </c>
      <c r="J5" s="4" t="s">
        <v>39</v>
      </c>
    </row>
    <row r="6" spans="2:10" x14ac:dyDescent="0.5">
      <c r="B6" s="2" t="s">
        <v>20</v>
      </c>
      <c r="C6" s="2" t="s">
        <v>18</v>
      </c>
      <c r="D6" s="2" t="s">
        <v>19</v>
      </c>
      <c r="E6" s="2" t="s">
        <v>16</v>
      </c>
      <c r="F6" s="5" t="s">
        <v>17</v>
      </c>
      <c r="G6" s="2">
        <v>7.19</v>
      </c>
      <c r="H6" s="2">
        <v>1</v>
      </c>
      <c r="I6" s="2">
        <f>H6*G6</f>
        <v>7.19</v>
      </c>
      <c r="J6" s="4" t="s">
        <v>15</v>
      </c>
    </row>
    <row r="7" spans="2:10" x14ac:dyDescent="0.5">
      <c r="B7" s="2" t="s">
        <v>23</v>
      </c>
      <c r="C7" s="2"/>
      <c r="D7" s="2"/>
      <c r="E7" s="2" t="s">
        <v>21</v>
      </c>
      <c r="F7" s="2">
        <v>8785347</v>
      </c>
      <c r="G7" s="2">
        <v>6.99</v>
      </c>
      <c r="H7" s="2">
        <v>1</v>
      </c>
      <c r="I7" s="2">
        <f>H7*G7</f>
        <v>6.99</v>
      </c>
      <c r="J7" s="4" t="s">
        <v>24</v>
      </c>
    </row>
    <row r="8" spans="2:10" x14ac:dyDescent="0.5">
      <c r="B8" s="2" t="s">
        <v>22</v>
      </c>
      <c r="C8" s="2"/>
      <c r="D8" s="2"/>
      <c r="E8" s="2" t="s">
        <v>21</v>
      </c>
      <c r="F8" s="2">
        <v>8785362</v>
      </c>
      <c r="G8" s="2">
        <v>22.99</v>
      </c>
      <c r="H8" s="2">
        <v>1</v>
      </c>
      <c r="I8" s="2">
        <f t="shared" ref="I8:I13" si="0">H8*G8</f>
        <v>22.99</v>
      </c>
      <c r="J8" s="4" t="s">
        <v>25</v>
      </c>
    </row>
    <row r="9" spans="2:10" x14ac:dyDescent="0.5">
      <c r="B9" s="2" t="s">
        <v>26</v>
      </c>
      <c r="C9" s="2" t="s">
        <v>29</v>
      </c>
      <c r="D9" s="2"/>
      <c r="E9" s="2" t="s">
        <v>29</v>
      </c>
      <c r="F9" s="2"/>
      <c r="G9" s="1">
        <v>47.16</v>
      </c>
      <c r="H9" s="2">
        <v>1</v>
      </c>
      <c r="I9" s="2">
        <f t="shared" si="0"/>
        <v>47.16</v>
      </c>
      <c r="J9" s="4" t="s">
        <v>39</v>
      </c>
    </row>
    <row r="10" spans="2:10" x14ac:dyDescent="0.5">
      <c r="B10" s="2" t="s">
        <v>27</v>
      </c>
      <c r="C10" s="2" t="s">
        <v>29</v>
      </c>
      <c r="D10" s="2"/>
      <c r="E10" s="2" t="s">
        <v>29</v>
      </c>
      <c r="F10" s="2"/>
      <c r="G10" s="2">
        <v>78.05</v>
      </c>
      <c r="H10" s="2">
        <v>1</v>
      </c>
      <c r="I10" s="2">
        <f t="shared" si="0"/>
        <v>78.05</v>
      </c>
      <c r="J10" s="4" t="s">
        <v>39</v>
      </c>
    </row>
    <row r="11" spans="2:10" x14ac:dyDescent="0.5">
      <c r="B11" s="2" t="s">
        <v>28</v>
      </c>
      <c r="C11" s="2" t="s">
        <v>29</v>
      </c>
      <c r="D11" s="2"/>
      <c r="E11" s="2" t="s">
        <v>29</v>
      </c>
      <c r="F11" s="2"/>
      <c r="G11" s="2">
        <v>47.9</v>
      </c>
      <c r="H11" s="2">
        <v>1</v>
      </c>
      <c r="I11" s="2">
        <f t="shared" si="0"/>
        <v>47.9</v>
      </c>
      <c r="J11" s="4" t="s">
        <v>39</v>
      </c>
    </row>
    <row r="12" spans="2:10" x14ac:dyDescent="0.5">
      <c r="B12" s="2" t="s">
        <v>31</v>
      </c>
      <c r="C12" s="2"/>
      <c r="D12" s="2"/>
      <c r="E12" s="2" t="s">
        <v>8</v>
      </c>
      <c r="F12" s="2" t="s">
        <v>30</v>
      </c>
      <c r="G12" s="2">
        <v>9.59</v>
      </c>
      <c r="H12" s="2">
        <v>1</v>
      </c>
      <c r="I12" s="2">
        <f t="shared" si="0"/>
        <v>9.59</v>
      </c>
      <c r="J12" s="4" t="s">
        <v>32</v>
      </c>
    </row>
    <row r="13" spans="2:10" x14ac:dyDescent="0.5">
      <c r="B13" s="2" t="s">
        <v>33</v>
      </c>
      <c r="C13" s="2"/>
      <c r="D13" s="2"/>
      <c r="E13" s="2" t="s">
        <v>8</v>
      </c>
      <c r="F13" s="2" t="s">
        <v>37</v>
      </c>
      <c r="G13" s="2">
        <v>13.59</v>
      </c>
      <c r="H13" s="2">
        <v>1</v>
      </c>
      <c r="I13" s="2">
        <f t="shared" si="0"/>
        <v>13.59</v>
      </c>
      <c r="J13" s="4" t="s">
        <v>34</v>
      </c>
    </row>
    <row r="14" spans="2:10" x14ac:dyDescent="0.5">
      <c r="H14" s="7" t="s">
        <v>38</v>
      </c>
      <c r="I14" s="2">
        <f>SUM(I3:I13)</f>
        <v>303.26999999999992</v>
      </c>
    </row>
  </sheetData>
  <hyperlinks>
    <hyperlink ref="J4" r:id="rId1" xr:uid="{2D60A72A-54FC-414E-9BE0-4C013709DAE2}"/>
    <hyperlink ref="J6" r:id="rId2" xr:uid="{0BD7A835-B486-4B38-B114-C0703F7CC1F1}"/>
    <hyperlink ref="J7" r:id="rId3" xr:uid="{67BD62BD-EA89-42E4-8A68-A2F666ED7BEF}"/>
    <hyperlink ref="J8" r:id="rId4" xr:uid="{C58908E2-9915-4C56-A73A-B14947074761}"/>
    <hyperlink ref="J12" r:id="rId5" xr:uid="{11EB1ABF-FE26-4367-8F8A-023A5E2615D7}"/>
    <hyperlink ref="J13" r:id="rId6" xr:uid="{CFA2064E-F8CF-4091-81BB-F535E33BC31C}"/>
    <hyperlink ref="J3" r:id="rId7" xr:uid="{6792AC0A-016F-4FC6-A4A2-10E1B1A5775C}"/>
    <hyperlink ref="J9" r:id="rId8" xr:uid="{6B7FC653-2D9C-4141-9FB7-783180DA6727}"/>
    <hyperlink ref="J10" r:id="rId9" xr:uid="{2BB5D2D7-55D6-4C37-87D5-E31CF4E1E138}"/>
    <hyperlink ref="J11" r:id="rId10" xr:uid="{D367DA30-5474-4BF3-8BD1-08A79601CC98}"/>
    <hyperlink ref="J5" r:id="rId11" xr:uid="{4A253394-0AB9-4188-8ADC-2D9F17FF8E93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O'Sullivan</dc:creator>
  <cp:lastModifiedBy>Liam O'Sullivan</cp:lastModifiedBy>
  <dcterms:created xsi:type="dcterms:W3CDTF">2025-11-21T20:50:06Z</dcterms:created>
  <dcterms:modified xsi:type="dcterms:W3CDTF">2025-11-22T02:59:56Z</dcterms:modified>
</cp:coreProperties>
</file>